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rcel Analysi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Unit Scenario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ummary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.0%"/>
    <numFmt numFmtId="167" formatCode="0.0&quot;%&quot;"/>
    <numFmt numFmtId="168" formatCode="0.0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sz val="10"/>
    </font>
    <font>
      <b val="1"/>
      <color rgb="00000080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4" borderId="1" pivotButton="0" quotePrefix="0" xfId="0"/>
    <xf numFmtId="2" fontId="6" fillId="4" borderId="1" pivotButton="0" quotePrefix="0" xfId="0"/>
    <xf numFmtId="3" fontId="6" fillId="4" borderId="1" pivotButton="0" quotePrefix="0" xfId="0"/>
    <xf numFmtId="3" fontId="0" fillId="5" borderId="1" pivotButton="0" quotePrefix="0" xfId="0"/>
    <xf numFmtId="2" fontId="0" fillId="5" borderId="1" pivotButton="0" quotePrefix="0" xfId="0"/>
    <xf numFmtId="164" fontId="0" fillId="5" borderId="1" pivotButton="0" quotePrefix="0" xfId="0"/>
    <xf numFmtId="9" fontId="0" fillId="5" borderId="1" pivotButton="0" quotePrefix="0" xfId="0"/>
    <xf numFmtId="0" fontId="4" fillId="0" borderId="0" pivotButton="0" quotePrefix="0" xfId="0"/>
    <xf numFmtId="165" fontId="0" fillId="5" borderId="1" pivotButton="0" quotePrefix="0" xfId="0"/>
    <xf numFmtId="165" fontId="4" fillId="5" borderId="1" pivotButton="0" quotePrefix="0" xfId="0"/>
    <xf numFmtId="166" fontId="0" fillId="5" borderId="1" pivotButton="0" quotePrefix="0" xfId="0"/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7" fontId="0" fillId="6" borderId="1" applyAlignment="1" pivotButton="0" quotePrefix="0" xfId="0">
      <alignment horizontal="center"/>
    </xf>
    <xf numFmtId="167" fontId="0" fillId="7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45" customWidth="1" min="4" max="4"/>
  </cols>
  <sheetData>
    <row r="1">
      <c r="A1" s="1" t="inlineStr">
        <is>
          <t>FAiLLON DEVELOPMENT PRO FORMA</t>
        </is>
      </c>
    </row>
    <row r="2">
      <c r="A2" s="2" t="inlineStr">
        <is>
          <t>Yellow = editable inputs | Green = calculated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PROJECT BASICS</t>
        </is>
      </c>
      <c r="B5" s="5" t="n"/>
      <c r="C5" s="5" t="n"/>
      <c r="D5" s="5" t="n"/>
    </row>
    <row r="6">
      <c r="A6" s="6" t="inlineStr">
        <is>
          <t>Deal Name</t>
        </is>
      </c>
      <c r="B6" s="7" t="inlineStr">
        <is>
          <t>Charlotte Multifamily 200 Units</t>
        </is>
      </c>
      <c r="C6" s="6" t="inlineStr"/>
      <c r="D6" s="2" t="inlineStr"/>
    </row>
    <row r="7">
      <c r="A7" s="6" t="inlineStr">
        <is>
          <t>Market</t>
        </is>
      </c>
      <c r="B7" s="7" t="inlineStr">
        <is>
          <t>charlotte</t>
        </is>
      </c>
      <c r="C7" s="6" t="inlineStr"/>
      <c r="D7" s="2" t="inlineStr">
        <is>
          <t>Boston/Charlotte/Nashville</t>
        </is>
      </c>
    </row>
    <row r="8">
      <c r="A8" s="6" t="inlineStr">
        <is>
          <t>Program Type</t>
        </is>
      </c>
      <c r="B8" s="7" t="inlineStr">
        <is>
          <t>multifamily</t>
        </is>
      </c>
      <c r="C8" s="6" t="inlineStr"/>
      <c r="D8" s="2" t="inlineStr"/>
    </row>
    <row r="10">
      <c r="A10" s="4" t="inlineStr">
        <is>
          <t>PARCEL &amp; DENSITY</t>
        </is>
      </c>
      <c r="B10" s="5" t="n"/>
      <c r="C10" s="5" t="n"/>
      <c r="D10" s="5" t="n"/>
    </row>
    <row r="11">
      <c r="A11" s="6" t="inlineStr">
        <is>
          <t>Parcel Size (SF)</t>
        </is>
      </c>
      <c r="B11" s="7" t="n">
        <v>43560</v>
      </c>
      <c r="C11" s="6" t="inlineStr">
        <is>
          <t>SF</t>
        </is>
      </c>
      <c r="D11" s="2" t="inlineStr">
        <is>
          <t>1 acre = 43,560 SF</t>
        </is>
      </c>
    </row>
    <row r="12">
      <c r="A12" s="6" t="inlineStr">
        <is>
          <t>Parcel Size (Acres)</t>
        </is>
      </c>
      <c r="B12" s="7" t="n">
        <v>1</v>
      </c>
      <c r="C12" s="6" t="inlineStr">
        <is>
          <t>acres</t>
        </is>
      </c>
      <c r="D12" s="2">
        <f> SF / 43,560</f>
        <v/>
      </c>
    </row>
    <row r="13">
      <c r="A13" s="6" t="inlineStr">
        <is>
          <t>Floor Area Ratio (FAR)</t>
        </is>
      </c>
      <c r="B13" s="7" t="n">
        <v>3</v>
      </c>
      <c r="C13" s="6" t="inlineStr">
        <is>
          <t>x</t>
        </is>
      </c>
      <c r="D13" s="2" t="inlineStr">
        <is>
          <t>City zoning - Boston 4-8, Charlotte 2-4</t>
        </is>
      </c>
    </row>
    <row r="14">
      <c r="A14" s="6" t="inlineStr">
        <is>
          <t>Building Efficiency</t>
        </is>
      </c>
      <c r="B14" s="8" t="n">
        <v>85</v>
      </c>
      <c r="C14" s="6" t="inlineStr">
        <is>
          <t>%</t>
        </is>
      </c>
      <c r="D14" s="2" t="inlineStr">
        <is>
          <t>Rentable / GFA</t>
        </is>
      </c>
    </row>
    <row r="15">
      <c r="A15" s="6" t="inlineStr">
        <is>
          <t>Number of Floors</t>
        </is>
      </c>
      <c r="B15" s="7" t="n">
        <v>5</v>
      </c>
      <c r="C15" s="6" t="inlineStr">
        <is>
          <t>floors</t>
        </is>
      </c>
      <c r="D15" s="2" t="inlineStr">
        <is>
          <t>Based on zoning/FAR</t>
        </is>
      </c>
    </row>
    <row r="17">
      <c r="A17" s="4" t="inlineStr">
        <is>
          <t>UNIT MIX</t>
        </is>
      </c>
      <c r="B17" s="5" t="n"/>
      <c r="C17" s="5" t="n"/>
      <c r="D17" s="5" t="n"/>
    </row>
    <row r="18">
      <c r="A18" s="6" t="inlineStr">
        <is>
          <t>Total Units</t>
        </is>
      </c>
      <c r="B18" s="7" t="n">
        <v>200</v>
      </c>
      <c r="C18" s="6" t="inlineStr">
        <is>
          <t>units</t>
        </is>
      </c>
      <c r="D18" s="2" t="inlineStr"/>
    </row>
    <row r="19">
      <c r="A19" s="6" t="inlineStr">
        <is>
          <t>Avg Unit Size</t>
        </is>
      </c>
      <c r="B19" s="7" t="n">
        <v>950</v>
      </c>
      <c r="C19" s="6" t="inlineStr">
        <is>
          <t>SF</t>
        </is>
      </c>
      <c r="D19" s="2" t="inlineStr"/>
    </row>
    <row r="20">
      <c r="A20" s="6" t="inlineStr">
        <is>
          <t>Total GFA</t>
        </is>
      </c>
      <c r="B20" s="7" t="n">
        <v>180000</v>
      </c>
      <c r="C20" s="6" t="inlineStr">
        <is>
          <t>SF</t>
        </is>
      </c>
      <c r="D20" s="2" t="inlineStr"/>
    </row>
    <row r="21">
      <c r="A21" s="6" t="inlineStr">
        <is>
          <t>Hotel Keys</t>
        </is>
      </c>
      <c r="B21" s="7" t="n">
        <v>0</v>
      </c>
      <c r="C21" s="6" t="inlineStr">
        <is>
          <t>keys</t>
        </is>
      </c>
      <c r="D21" s="2" t="inlineStr">
        <is>
          <t>If hotel</t>
        </is>
      </c>
    </row>
    <row r="23">
      <c r="A23" s="4" t="inlineStr">
        <is>
          <t>REVENUE</t>
        </is>
      </c>
      <c r="B23" s="5" t="n"/>
      <c r="C23" s="5" t="n"/>
      <c r="D23" s="5" t="n"/>
    </row>
    <row r="24">
      <c r="A24" s="6" t="inlineStr">
        <is>
          <t>Monthly Rent</t>
        </is>
      </c>
      <c r="B24" s="9" t="n">
        <v>1.85</v>
      </c>
      <c r="C24" s="6" t="inlineStr">
        <is>
          <t>$/SF/mo</t>
        </is>
      </c>
      <c r="D24" s="2" t="inlineStr"/>
    </row>
    <row r="25">
      <c r="A25" s="6" t="inlineStr">
        <is>
          <t>Stabilized Occupancy</t>
        </is>
      </c>
      <c r="B25" s="8" t="n">
        <v>93</v>
      </c>
      <c r="C25" s="6" t="inlineStr">
        <is>
          <t>%</t>
        </is>
      </c>
      <c r="D25" s="2" t="inlineStr"/>
    </row>
    <row r="26">
      <c r="A26" s="6" t="inlineStr">
        <is>
          <t>Other Income</t>
        </is>
      </c>
      <c r="B26" s="8" t="n">
        <v>5</v>
      </c>
      <c r="C26" s="6" t="inlineStr">
        <is>
          <t>% of rent</t>
        </is>
      </c>
      <c r="D26" s="2" t="inlineStr"/>
    </row>
    <row r="27">
      <c r="A27" s="6" t="inlineStr">
        <is>
          <t>Annual Rent Growth</t>
        </is>
      </c>
      <c r="B27" s="8" t="n">
        <v>3</v>
      </c>
      <c r="C27" s="6" t="inlineStr">
        <is>
          <t>%</t>
        </is>
      </c>
      <c r="D27" s="2" t="inlineStr"/>
    </row>
    <row r="28">
      <c r="A28" s="6" t="inlineStr">
        <is>
          <t>Operating Expense Ratio</t>
        </is>
      </c>
      <c r="B28" s="8" t="n">
        <v>35</v>
      </c>
      <c r="C28" s="6" t="inlineStr">
        <is>
          <t>%</t>
        </is>
      </c>
      <c r="D28" s="2" t="inlineStr"/>
    </row>
    <row r="30">
      <c r="A30" s="4" t="inlineStr">
        <is>
          <t>COSTS</t>
        </is>
      </c>
      <c r="B30" s="5" t="n"/>
      <c r="C30" s="5" t="n"/>
      <c r="D30" s="5" t="n"/>
    </row>
    <row r="31">
      <c r="A31" s="6" t="inlineStr">
        <is>
          <t>Land Cost (Total)</t>
        </is>
      </c>
      <c r="B31" s="9" t="n">
        <v>8000000</v>
      </c>
      <c r="C31" s="6" t="inlineStr">
        <is>
          <t>$</t>
        </is>
      </c>
      <c r="D31" s="2" t="inlineStr">
        <is>
          <t>Or use per acre</t>
        </is>
      </c>
    </row>
    <row r="32">
      <c r="A32" s="6" t="inlineStr">
        <is>
          <t>Land Cost per Acre</t>
        </is>
      </c>
      <c r="B32" s="9" t="n">
        <v>500000</v>
      </c>
      <c r="C32" s="6" t="inlineStr">
        <is>
          <t>$/acre</t>
        </is>
      </c>
      <c r="D32" s="2" t="inlineStr"/>
    </row>
    <row r="33">
      <c r="A33" s="6" t="inlineStr">
        <is>
          <t>Hard Cost</t>
        </is>
      </c>
      <c r="B33" s="9" t="n">
        <v>275</v>
      </c>
      <c r="C33" s="6" t="inlineStr">
        <is>
          <t>$/SF</t>
        </is>
      </c>
      <c r="D33" s="2" t="inlineStr">
        <is>
          <t>Construction</t>
        </is>
      </c>
    </row>
    <row r="34">
      <c r="A34" s="6" t="inlineStr">
        <is>
          <t>Soft Cost %</t>
        </is>
      </c>
      <c r="B34" s="8" t="n">
        <v>22</v>
      </c>
      <c r="C34" s="6" t="inlineStr">
        <is>
          <t>%</t>
        </is>
      </c>
      <c r="D34" s="2" t="inlineStr">
        <is>
          <t>Of hard</t>
        </is>
      </c>
    </row>
    <row r="35">
      <c r="A35" s="6" t="inlineStr">
        <is>
          <t>Contingency %</t>
        </is>
      </c>
      <c r="B35" s="8" t="n">
        <v>7</v>
      </c>
      <c r="C35" s="6" t="inlineStr">
        <is>
          <t>%</t>
        </is>
      </c>
      <c r="D35" s="2" t="inlineStr"/>
    </row>
    <row r="36">
      <c r="A36" s="6" t="inlineStr">
        <is>
          <t>Developer Fee %</t>
        </is>
      </c>
      <c r="B36" s="8" t="n">
        <v>4</v>
      </c>
      <c r="C36" s="6" t="inlineStr">
        <is>
          <t>%</t>
        </is>
      </c>
      <c r="D36" s="2" t="inlineStr"/>
    </row>
    <row r="38">
      <c r="A38" s="4" t="inlineStr">
        <is>
          <t>FINANCING</t>
        </is>
      </c>
      <c r="B38" s="5" t="n"/>
      <c r="C38" s="5" t="n"/>
      <c r="D38" s="5" t="n"/>
    </row>
    <row r="39">
      <c r="A39" s="6" t="inlineStr">
        <is>
          <t>Loan to Cost</t>
        </is>
      </c>
      <c r="B39" s="8" t="n">
        <v>65</v>
      </c>
      <c r="C39" s="6" t="inlineStr">
        <is>
          <t>%</t>
        </is>
      </c>
      <c r="D39" s="2" t="inlineStr"/>
    </row>
    <row r="40">
      <c r="A40" s="6" t="inlineStr">
        <is>
          <t>Interest Rate</t>
        </is>
      </c>
      <c r="B40" s="8" t="n">
        <v>7.5</v>
      </c>
      <c r="C40" s="6" t="inlineStr">
        <is>
          <t>%</t>
        </is>
      </c>
      <c r="D40" s="2" t="inlineStr"/>
    </row>
    <row r="41">
      <c r="A41" s="6" t="inlineStr">
        <is>
          <t>LP Equity %</t>
        </is>
      </c>
      <c r="B41" s="8" t="n">
        <v>90</v>
      </c>
      <c r="C41" s="6" t="inlineStr">
        <is>
          <t>%</t>
        </is>
      </c>
      <c r="D41" s="2" t="inlineStr"/>
    </row>
    <row r="43">
      <c r="A43" s="4" t="inlineStr">
        <is>
          <t>EXIT</t>
        </is>
      </c>
      <c r="B43" s="5" t="n"/>
      <c r="C43" s="5" t="n"/>
      <c r="D43" s="5" t="n"/>
    </row>
    <row r="44">
      <c r="A44" s="6" t="inlineStr">
        <is>
          <t>Exit Cap Rate</t>
        </is>
      </c>
      <c r="B44" s="8" t="n">
        <v>5.25</v>
      </c>
      <c r="C44" s="6" t="inlineStr">
        <is>
          <t>%</t>
        </is>
      </c>
      <c r="D44" s="2" t="inlineStr"/>
    </row>
    <row r="45">
      <c r="A45" s="6" t="inlineStr">
        <is>
          <t>Hold Period</t>
        </is>
      </c>
      <c r="B45" s="7" t="n">
        <v>5</v>
      </c>
      <c r="C45" s="6" t="inlineStr">
        <is>
          <t>years</t>
        </is>
      </c>
      <c r="D45" s="2" t="inlineStr"/>
    </row>
    <row r="46">
      <c r="A46" s="6" t="inlineStr">
        <is>
          <t>Sale Costs</t>
        </is>
      </c>
      <c r="B46" s="8" t="n">
        <v>2</v>
      </c>
      <c r="C46" s="6" t="inlineStr">
        <is>
          <t>%</t>
        </is>
      </c>
      <c r="D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" t="inlineStr">
        <is>
          <t>PARCEL TO GFA ANALYSIS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Formula/Notes</t>
        </is>
      </c>
    </row>
    <row r="4">
      <c r="A4" s="4" t="inlineStr">
        <is>
          <t>PARCEL INPUTS</t>
        </is>
      </c>
      <c r="B4" s="5" t="n"/>
      <c r="C4" s="5" t="n"/>
    </row>
    <row r="5">
      <c r="A5" s="6" t="inlineStr">
        <is>
          <t>Parcel SF</t>
        </is>
      </c>
      <c r="B5" s="10">
        <f>Inputs!B11</f>
        <v/>
      </c>
      <c r="C5" s="2" t="inlineStr">
        <is>
          <t>From inputs</t>
        </is>
      </c>
    </row>
    <row r="6">
      <c r="A6" s="6" t="inlineStr">
        <is>
          <t>Parcel Acres</t>
        </is>
      </c>
      <c r="B6" s="11">
        <f>Inputs!B11/43560</f>
        <v/>
      </c>
      <c r="C6" s="2" t="inlineStr">
        <is>
          <t>SF / 43,560</t>
        </is>
      </c>
    </row>
    <row r="8">
      <c r="A8" s="4" t="inlineStr">
        <is>
          <t>ZONING &amp; DENSITY</t>
        </is>
      </c>
      <c r="B8" s="5" t="n"/>
      <c r="C8" s="5" t="n"/>
    </row>
    <row r="9">
      <c r="A9" s="6" t="inlineStr">
        <is>
          <t>FAR (Floor Area Ratio)</t>
        </is>
      </c>
      <c r="B9" s="12">
        <f>Inputs!B13</f>
        <v/>
      </c>
      <c r="C9" s="2" t="inlineStr">
        <is>
          <t>City zoning allowance</t>
        </is>
      </c>
    </row>
    <row r="10">
      <c r="A10" s="6" t="inlineStr">
        <is>
          <t>Maximum Buildable GFA</t>
        </is>
      </c>
      <c r="B10" s="10">
        <f>B5*B9</f>
        <v/>
      </c>
      <c r="C10" s="2" t="inlineStr">
        <is>
          <t>Parcel SF × FAR</t>
        </is>
      </c>
    </row>
    <row r="12">
      <c r="A12" s="4" t="inlineStr">
        <is>
          <t>BUILDING CONFIGURATION</t>
        </is>
      </c>
      <c r="B12" s="5" t="n"/>
      <c r="C12" s="5" t="n"/>
    </row>
    <row r="13">
      <c r="A13" s="6" t="inlineStr">
        <is>
          <t>Number of Floors</t>
        </is>
      </c>
      <c r="B13" s="10">
        <f>Inputs!B15</f>
        <v/>
      </c>
      <c r="C13" s="2" t="inlineStr">
        <is>
          <t>Based on zoning/height limits</t>
        </is>
      </c>
    </row>
    <row r="14">
      <c r="A14" s="6" t="inlineStr">
        <is>
          <t>Typical Floorplate</t>
        </is>
      </c>
      <c r="B14" s="10">
        <f>B10/B13</f>
        <v/>
      </c>
      <c r="C14" s="2" t="inlineStr">
        <is>
          <t>GFA / Floors</t>
        </is>
      </c>
    </row>
    <row r="15">
      <c r="A15" s="6" t="inlineStr">
        <is>
          <t>Building Efficiency</t>
        </is>
      </c>
      <c r="B15" s="13">
        <f>Inputs!B14/100</f>
        <v/>
      </c>
      <c r="C15" s="2" t="inlineStr">
        <is>
          <t>Rentable / Gross</t>
        </is>
      </c>
    </row>
    <row r="16">
      <c r="A16" s="6" t="inlineStr">
        <is>
          <t>Total Rentable SF</t>
        </is>
      </c>
      <c r="B16" s="10">
        <f>B10*B15</f>
        <v/>
      </c>
      <c r="C16" s="2" t="inlineStr">
        <is>
          <t>GFA × Efficiency</t>
        </is>
      </c>
    </row>
    <row r="18">
      <c r="A18" s="4" t="inlineStr">
        <is>
          <t>UNIT ANALYSIS</t>
        </is>
      </c>
      <c r="B18" s="5" t="n"/>
      <c r="C18" s="5" t="n"/>
    </row>
    <row r="19">
      <c r="A19" s="6" t="inlineStr">
        <is>
          <t>Avg Unit Size (Input)</t>
        </is>
      </c>
      <c r="B19" s="10">
        <f>Inputs!B19</f>
        <v/>
      </c>
      <c r="C19" s="2" t="inlineStr">
        <is>
          <t>From inputs</t>
        </is>
      </c>
    </row>
    <row r="20">
      <c r="A20" s="6" t="inlineStr">
        <is>
          <t>Effective Unit Count</t>
        </is>
      </c>
      <c r="B20" s="10">
        <f>ROUND(B16/B19,0)</f>
        <v/>
      </c>
      <c r="C20" s="2" t="inlineStr">
        <is>
          <t>Rentable SF / Avg Unit SF</t>
        </is>
      </c>
    </row>
    <row r="21">
      <c r="A21" s="6" t="inlineStr">
        <is>
          <t>Units per Floor</t>
        </is>
      </c>
      <c r="B21" s="10">
        <f>ROUND(B20/B13,0)</f>
        <v/>
      </c>
      <c r="C21" s="2" t="inlineStr">
        <is>
          <t>Total Units / Floors</t>
        </is>
      </c>
    </row>
    <row r="23">
      <c r="A23" s="4" t="inlineStr">
        <is>
          <t>DENSITY METRICS</t>
        </is>
      </c>
      <c r="B23" s="5" t="n"/>
      <c r="C23" s="5" t="n"/>
    </row>
    <row r="24">
      <c r="A24" s="6" t="inlineStr">
        <is>
          <t>Units per Acre</t>
        </is>
      </c>
      <c r="B24" s="12">
        <f>B20/B6</f>
        <v/>
      </c>
      <c r="C24" s="2" t="inlineStr">
        <is>
          <t>Units / Acres</t>
        </is>
      </c>
    </row>
    <row r="25">
      <c r="A25" s="6" t="inlineStr">
        <is>
          <t>FAR Used</t>
        </is>
      </c>
      <c r="B25" s="11">
        <f>Inputs!B20/B5</f>
        <v/>
      </c>
      <c r="C25" s="2" t="inlineStr">
        <is>
          <t>Actual GFA / Parcel</t>
        </is>
      </c>
    </row>
    <row r="26">
      <c r="A26" s="6" t="inlineStr">
        <is>
          <t>GFA per Unit</t>
        </is>
      </c>
      <c r="B26" s="10">
        <f>Inputs!B20/Inputs!B18</f>
        <v/>
      </c>
      <c r="C26" s="2" t="inlineStr">
        <is>
          <t>Gross SF / Units</t>
        </is>
      </c>
    </row>
    <row r="29">
      <c r="A29" s="14" t="inlineStr">
        <is>
          <t>CITY FAR GUIDELINES:</t>
        </is>
      </c>
    </row>
    <row r="30">
      <c r="A30" s="2" t="inlineStr">
        <is>
          <t>• Boston: FAR 4-8 (high density, transit-oriented)</t>
        </is>
      </c>
    </row>
    <row r="31">
      <c r="A31" s="2" t="inlineStr">
        <is>
          <t>• Charlotte: FAR 2-4 (mid-rise suburban/urban)</t>
        </is>
      </c>
    </row>
    <row r="32">
      <c r="A32" s="2" t="inlineStr">
        <is>
          <t>• Nashville: FAR 2-4 (similar to Charlotte)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" t="inlineStr">
        <is>
          <t>FINANCIAL CALCULATIONS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Formula</t>
        </is>
      </c>
    </row>
    <row r="4">
      <c r="A4" s="4" t="inlineStr">
        <is>
          <t>REVENUE</t>
        </is>
      </c>
      <c r="B4" s="5" t="n"/>
      <c r="C4" s="5" t="n"/>
    </row>
    <row r="5">
      <c r="A5" s="6" t="inlineStr">
        <is>
          <t>Rentable SF</t>
        </is>
      </c>
      <c r="B5" s="10">
        <f>Inputs!B18*Inputs!B19</f>
        <v/>
      </c>
      <c r="C5" s="2" t="inlineStr">
        <is>
          <t>Units × Avg SF</t>
        </is>
      </c>
    </row>
    <row r="6">
      <c r="A6" s="6" t="inlineStr">
        <is>
          <t>Gross Potential Rent</t>
        </is>
      </c>
      <c r="B6" s="15">
        <f>B5*Inputs!B24*12</f>
        <v/>
      </c>
      <c r="C6" s="2" t="inlineStr">
        <is>
          <t>Rentable × Rent × 12</t>
        </is>
      </c>
    </row>
    <row r="7">
      <c r="A7" s="6" t="inlineStr">
        <is>
          <t>Other Income</t>
        </is>
      </c>
      <c r="B7" s="15">
        <f>B6*Inputs!B26/100</f>
        <v/>
      </c>
      <c r="C7" s="2" t="inlineStr">
        <is>
          <t>GPR × Other %</t>
        </is>
      </c>
    </row>
    <row r="8">
      <c r="A8" s="6" t="inlineStr">
        <is>
          <t>Gross Potential Income</t>
        </is>
      </c>
      <c r="B8" s="15">
        <f>B6+B7</f>
        <v/>
      </c>
      <c r="C8" s="2" t="inlineStr">
        <is>
          <t>Rent + Other</t>
        </is>
      </c>
    </row>
    <row r="9">
      <c r="A9" s="6" t="inlineStr">
        <is>
          <t>Vacancy Loss</t>
        </is>
      </c>
      <c r="B9" s="15">
        <f>B8*(1-Inputs!B25/100)</f>
        <v/>
      </c>
      <c r="C9" s="2" t="inlineStr">
        <is>
          <t>GPI × (1-Occ)</t>
        </is>
      </c>
    </row>
    <row r="10">
      <c r="A10" s="6" t="inlineStr">
        <is>
          <t>Effective Gross Income</t>
        </is>
      </c>
      <c r="B10" s="15">
        <f>B8-B9</f>
        <v/>
      </c>
      <c r="C10" s="2" t="inlineStr">
        <is>
          <t>GPI - Vacancy</t>
        </is>
      </c>
    </row>
    <row r="11">
      <c r="A11" s="6" t="inlineStr">
        <is>
          <t>Operating Expenses</t>
        </is>
      </c>
      <c r="B11" s="15">
        <f>B10*Inputs!B28/100</f>
        <v/>
      </c>
      <c r="C11" s="2" t="inlineStr">
        <is>
          <t>EGI × OpEx%</t>
        </is>
      </c>
    </row>
    <row r="12">
      <c r="A12" s="6" t="inlineStr">
        <is>
          <t>Net Operating Income</t>
        </is>
      </c>
      <c r="B12" s="15">
        <f>B10-B11</f>
        <v/>
      </c>
      <c r="C12" s="2" t="inlineStr">
        <is>
          <t>EGI - OpEx</t>
        </is>
      </c>
    </row>
    <row r="14">
      <c r="A14" s="4" t="inlineStr">
        <is>
          <t>COSTS</t>
        </is>
      </c>
      <c r="B14" s="5" t="n"/>
      <c r="C14" s="5" t="n"/>
    </row>
    <row r="15">
      <c r="A15" s="6" t="inlineStr">
        <is>
          <t>Land Cost</t>
        </is>
      </c>
      <c r="B15" s="15">
        <f>IF(Inputs!B31&gt;0,Inputs!B31,Inputs!B32*Inputs!B12)</f>
        <v/>
      </c>
      <c r="C15" s="2" t="inlineStr">
        <is>
          <t>Total or Per Acre × Acres</t>
        </is>
      </c>
    </row>
    <row r="16">
      <c r="A16" s="6" t="inlineStr">
        <is>
          <t>Hard Costs</t>
        </is>
      </c>
      <c r="B16" s="15">
        <f>Inputs!B20*Inputs!B33</f>
        <v/>
      </c>
      <c r="C16" s="2" t="inlineStr">
        <is>
          <t>GFA × $/SF</t>
        </is>
      </c>
    </row>
    <row r="17">
      <c r="A17" s="6" t="inlineStr">
        <is>
          <t>Soft Costs</t>
        </is>
      </c>
      <c r="B17" s="15">
        <f>B16*Inputs!B34/100</f>
        <v/>
      </c>
      <c r="C17" s="2" t="inlineStr">
        <is>
          <t>Hard × Soft%</t>
        </is>
      </c>
    </row>
    <row r="18">
      <c r="A18" s="6" t="inlineStr">
        <is>
          <t>Contingency</t>
        </is>
      </c>
      <c r="B18" s="15">
        <f>(B16+B17)*Inputs!B35/100</f>
        <v/>
      </c>
      <c r="C18" s="2" t="inlineStr">
        <is>
          <t>(H+S) × Cont%</t>
        </is>
      </c>
    </row>
    <row r="19">
      <c r="A19" s="6" t="inlineStr">
        <is>
          <t>Subtotal</t>
        </is>
      </c>
      <c r="B19" s="15">
        <f>B15+B16+B17+B18</f>
        <v/>
      </c>
      <c r="C19" s="2" t="inlineStr">
        <is>
          <t>Land+Hard+Soft+Cont</t>
        </is>
      </c>
    </row>
    <row r="20">
      <c r="A20" s="6" t="inlineStr">
        <is>
          <t>Developer Fee</t>
        </is>
      </c>
      <c r="B20" s="15">
        <f>B19*Inputs!B36/100</f>
        <v/>
      </c>
      <c r="C20" s="2" t="inlineStr">
        <is>
          <t>Sub × Fee%</t>
        </is>
      </c>
    </row>
    <row r="21">
      <c r="A21" s="6" t="inlineStr">
        <is>
          <t>Total Development Cost</t>
        </is>
      </c>
      <c r="B21" s="16">
        <f>B19+B20</f>
        <v/>
      </c>
      <c r="C21" s="2" t="inlineStr">
        <is>
          <t>Subtotal + Fee</t>
        </is>
      </c>
    </row>
    <row r="23">
      <c r="A23" s="4" t="inlineStr">
        <is>
          <t>FINANCING</t>
        </is>
      </c>
      <c r="B23" s="5" t="n"/>
      <c r="C23" s="5" t="n"/>
    </row>
    <row r="24">
      <c r="A24" s="6" t="inlineStr">
        <is>
          <t>Loan Amount</t>
        </is>
      </c>
      <c r="B24" s="15">
        <f>B21*Inputs!B39/100</f>
        <v/>
      </c>
      <c r="C24" s="2" t="inlineStr">
        <is>
          <t>TDC × LTC%</t>
        </is>
      </c>
    </row>
    <row r="25">
      <c r="A25" s="6" t="inlineStr">
        <is>
          <t>Total Equity</t>
        </is>
      </c>
      <c r="B25" s="15">
        <f>B21-B24</f>
        <v/>
      </c>
      <c r="C25" s="2" t="inlineStr">
        <is>
          <t>TDC - Loan</t>
        </is>
      </c>
    </row>
    <row r="26">
      <c r="A26" s="6" t="inlineStr">
        <is>
          <t>LP Equity</t>
        </is>
      </c>
      <c r="B26" s="15">
        <f>B25*Inputs!B41/100</f>
        <v/>
      </c>
      <c r="C26" s="2" t="inlineStr">
        <is>
          <t>Equity × LP%</t>
        </is>
      </c>
    </row>
    <row r="27">
      <c r="A27" s="6" t="inlineStr">
        <is>
          <t>GP Equity</t>
        </is>
      </c>
      <c r="B27" s="15">
        <f>B25-B26</f>
        <v/>
      </c>
      <c r="C27" s="2" t="inlineStr">
        <is>
          <t>Equity - LP</t>
        </is>
      </c>
    </row>
    <row r="29">
      <c r="A29" s="4" t="inlineStr">
        <is>
          <t>RETURNS</t>
        </is>
      </c>
      <c r="B29" s="5" t="n"/>
      <c r="C29" s="5" t="n"/>
    </row>
    <row r="30">
      <c r="A30" s="6" t="inlineStr">
        <is>
          <t>Exit Value (Gross)</t>
        </is>
      </c>
      <c r="B30" s="15">
        <f>B12/(Inputs!B44/100)</f>
        <v/>
      </c>
      <c r="C30" s="2" t="inlineStr">
        <is>
          <t>NOI / Cap Rate</t>
        </is>
      </c>
    </row>
    <row r="31">
      <c r="A31" s="6" t="inlineStr">
        <is>
          <t>Sale Costs</t>
        </is>
      </c>
      <c r="B31" s="15">
        <f>B30*Inputs!B46/100</f>
        <v/>
      </c>
      <c r="C31" s="2" t="inlineStr">
        <is>
          <t>Gross × Sale%</t>
        </is>
      </c>
    </row>
    <row r="32">
      <c r="A32" s="6" t="inlineStr">
        <is>
          <t>Exit Value (Net)</t>
        </is>
      </c>
      <c r="B32" s="15">
        <f>B30-B31</f>
        <v/>
      </c>
      <c r="C32" s="2" t="inlineStr">
        <is>
          <t>Gross - Sale</t>
        </is>
      </c>
    </row>
    <row r="33">
      <c r="A33" s="6" t="inlineStr">
        <is>
          <t>Total Profit</t>
        </is>
      </c>
      <c r="B33" s="15">
        <f>B32-B21</f>
        <v/>
      </c>
      <c r="C33" s="2" t="inlineStr">
        <is>
          <t>Net Exit - TDC</t>
        </is>
      </c>
    </row>
    <row r="34">
      <c r="A34" s="6" t="inlineStr">
        <is>
          <t>Profit on Cost</t>
        </is>
      </c>
      <c r="B34" s="17">
        <f>B33/B21</f>
        <v/>
      </c>
      <c r="C34" s="2" t="inlineStr">
        <is>
          <t>Profit / TDC</t>
        </is>
      </c>
    </row>
    <row r="35">
      <c r="A35" s="6" t="inlineStr">
        <is>
          <t>Cost per Unit</t>
        </is>
      </c>
      <c r="B35" s="15">
        <f>B21/Inputs!B18</f>
        <v/>
      </c>
      <c r="C35" s="2" t="inlineStr">
        <is>
          <t>TDC / Units</t>
        </is>
      </c>
    </row>
    <row r="36">
      <c r="A36" s="6" t="inlineStr">
        <is>
          <t>NOI Yield on Cost</t>
        </is>
      </c>
      <c r="B36" s="17">
        <f>B12/B21</f>
        <v/>
      </c>
      <c r="C36" s="2" t="inlineStr">
        <is>
          <t>NOI / TDC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UNIT MIX SCENARIO ANALYSIS</t>
        </is>
      </c>
    </row>
    <row r="2">
      <c r="A2" s="2" t="inlineStr">
        <is>
          <t>Same GFA, different unit counts = different avg sizes</t>
        </is>
      </c>
    </row>
    <row r="4">
      <c r="A4" s="3" t="inlineStr">
        <is>
          <t>Metric</t>
        </is>
      </c>
      <c r="B4" s="18" t="inlineStr">
        <is>
          <t>N-20</t>
        </is>
      </c>
      <c r="C4" s="18" t="inlineStr">
        <is>
          <t>N-10</t>
        </is>
      </c>
      <c r="D4" s="18" t="inlineStr">
        <is>
          <t>Base</t>
        </is>
      </c>
      <c r="E4" s="18" t="inlineStr">
        <is>
          <t>N+10</t>
        </is>
      </c>
      <c r="F4" s="18" t="inlineStr">
        <is>
          <t>N+20</t>
        </is>
      </c>
    </row>
    <row r="5">
      <c r="A5" s="19" t="inlineStr">
        <is>
          <t>Unit Count</t>
        </is>
      </c>
      <c r="B5" s="10">
        <f>Inputs!B18+-20</f>
        <v/>
      </c>
      <c r="C5" s="10">
        <f>Inputs!B18+-10</f>
        <v/>
      </c>
      <c r="D5" s="10">
        <f>Inputs!B18+0</f>
        <v/>
      </c>
      <c r="E5" s="10">
        <f>Inputs!B18+10</f>
        <v/>
      </c>
      <c r="F5" s="10">
        <f>Inputs!B18+20</f>
        <v/>
      </c>
    </row>
    <row r="6">
      <c r="A6" s="19" t="inlineStr">
        <is>
          <t>Avg Unit SF</t>
        </is>
      </c>
      <c r="B6" s="10">
        <f>Inputs!B20/B5</f>
        <v/>
      </c>
      <c r="C6" s="10">
        <f>Inputs!B20/C5</f>
        <v/>
      </c>
      <c r="D6" s="10">
        <f>Inputs!B20/D5</f>
        <v/>
      </c>
      <c r="E6" s="10">
        <f>Inputs!B20/E5</f>
        <v/>
      </c>
      <c r="F6" s="10">
        <f>Inputs!B20/F5</f>
        <v/>
      </c>
    </row>
    <row r="7">
      <c r="A7" s="19" t="inlineStr">
        <is>
          <t>Rentable SF</t>
        </is>
      </c>
      <c r="B7" s="10">
        <f>B5*B6</f>
        <v/>
      </c>
      <c r="C7" s="10">
        <f>C5*C6</f>
        <v/>
      </c>
      <c r="D7" s="10">
        <f>D5*D6</f>
        <v/>
      </c>
      <c r="E7" s="10">
        <f>E5*E6</f>
        <v/>
      </c>
      <c r="F7" s="10">
        <f>F5*F6</f>
        <v/>
      </c>
    </row>
    <row r="8">
      <c r="A8" s="19" t="inlineStr">
        <is>
          <t>Annual Rent</t>
        </is>
      </c>
      <c r="B8" s="15">
        <f>B7*Inputs!B24*12</f>
        <v/>
      </c>
      <c r="C8" s="15">
        <f>C7*Inputs!B24*12</f>
        <v/>
      </c>
      <c r="D8" s="15">
        <f>D7*Inputs!B24*12</f>
        <v/>
      </c>
      <c r="E8" s="15">
        <f>E7*Inputs!B24*12</f>
        <v/>
      </c>
      <c r="F8" s="15">
        <f>F7*Inputs!B24*12</f>
        <v/>
      </c>
    </row>
    <row r="9">
      <c r="A9" s="19" t="inlineStr">
        <is>
          <t>EGI</t>
        </is>
      </c>
      <c r="B9" s="15">
        <f>B8*(1+Inputs!B26/100)*(Inputs!B25/100)</f>
        <v/>
      </c>
      <c r="C9" s="15">
        <f>C8*(1+Inputs!B26/100)*(Inputs!B25/100)</f>
        <v/>
      </c>
      <c r="D9" s="15">
        <f>D8*(1+Inputs!B26/100)*(Inputs!B25/100)</f>
        <v/>
      </c>
      <c r="E9" s="15">
        <f>E8*(1+Inputs!B26/100)*(Inputs!B25/100)</f>
        <v/>
      </c>
      <c r="F9" s="15">
        <f>F8*(1+Inputs!B26/100)*(Inputs!B25/100)</f>
        <v/>
      </c>
    </row>
    <row r="10">
      <c r="A10" s="19" t="inlineStr">
        <is>
          <t>NOI</t>
        </is>
      </c>
      <c r="B10" s="15">
        <f>B9*(1-Inputs!B28/100)</f>
        <v/>
      </c>
      <c r="C10" s="15">
        <f>C9*(1-Inputs!B28/100)</f>
        <v/>
      </c>
      <c r="D10" s="15">
        <f>D9*(1-Inputs!B28/100)</f>
        <v/>
      </c>
      <c r="E10" s="15">
        <f>E9*(1-Inputs!B28/100)</f>
        <v/>
      </c>
      <c r="F10" s="15">
        <f>F9*(1-Inputs!B28/100)</f>
        <v/>
      </c>
    </row>
    <row r="12">
      <c r="A12" s="14" t="inlineStr">
        <is>
          <t>COSTS (Fixed GFA)</t>
        </is>
      </c>
    </row>
    <row r="13">
      <c r="A13" s="19" t="inlineStr">
        <is>
          <t>Total Dev Cost</t>
        </is>
      </c>
      <c r="B13" s="15">
        <f>(IF(Inputs!B31&gt;0,Inputs!B31,Inputs!B32*Inputs!B12)+Inputs!B20*Inputs!B33*(1+Inputs!B34/100)*(1+Inputs!B35/100))*(1+Inputs!B36/100)</f>
        <v/>
      </c>
      <c r="C13" s="15">
        <f>(IF(Inputs!B31&gt;0,Inputs!B31,Inputs!B32*Inputs!B12)+Inputs!B20*Inputs!B33*(1+Inputs!B34/100)*(1+Inputs!B35/100))*(1+Inputs!B36/100)</f>
        <v/>
      </c>
      <c r="D13" s="15">
        <f>(IF(Inputs!B31&gt;0,Inputs!B31,Inputs!B32*Inputs!B12)+Inputs!B20*Inputs!B33*(1+Inputs!B34/100)*(1+Inputs!B35/100))*(1+Inputs!B36/100)</f>
        <v/>
      </c>
      <c r="E13" s="15">
        <f>(IF(Inputs!B31&gt;0,Inputs!B31,Inputs!B32*Inputs!B12)+Inputs!B20*Inputs!B33*(1+Inputs!B34/100)*(1+Inputs!B35/100))*(1+Inputs!B36/100)</f>
        <v/>
      </c>
      <c r="F13" s="15">
        <f>(IF(Inputs!B31&gt;0,Inputs!B31,Inputs!B32*Inputs!B12)+Inputs!B20*Inputs!B33*(1+Inputs!B34/100)*(1+Inputs!B35/100))*(1+Inputs!B36/100)</f>
        <v/>
      </c>
    </row>
    <row r="14">
      <c r="A14" s="19" t="inlineStr">
        <is>
          <t>Cost per Unit</t>
        </is>
      </c>
      <c r="B14" s="15">
        <f>B13/B5</f>
        <v/>
      </c>
      <c r="C14" s="15">
        <f>C13/C5</f>
        <v/>
      </c>
      <c r="D14" s="15">
        <f>D13/D5</f>
        <v/>
      </c>
      <c r="E14" s="15">
        <f>E13/E5</f>
        <v/>
      </c>
      <c r="F14" s="15">
        <f>F13/F5</f>
        <v/>
      </c>
    </row>
    <row r="16">
      <c r="A16" s="14" t="inlineStr">
        <is>
          <t>RETURNS</t>
        </is>
      </c>
    </row>
    <row r="17">
      <c r="A17" s="19" t="inlineStr">
        <is>
          <t>Exit Value (Net)</t>
        </is>
      </c>
      <c r="B17" s="15">
        <f>(B10/(Inputs!B44/100))*(1-Inputs!B46/100)</f>
        <v/>
      </c>
      <c r="C17" s="15">
        <f>(C10/(Inputs!B44/100))*(1-Inputs!B46/100)</f>
        <v/>
      </c>
      <c r="D17" s="15">
        <f>(D10/(Inputs!B44/100))*(1-Inputs!B46/100)</f>
        <v/>
      </c>
      <c r="E17" s="15">
        <f>(E10/(Inputs!B44/100))*(1-Inputs!B46/100)</f>
        <v/>
      </c>
      <c r="F17" s="15">
        <f>(F10/(Inputs!B44/100))*(1-Inputs!B46/100)</f>
        <v/>
      </c>
    </row>
    <row r="18">
      <c r="A18" s="19" t="inlineStr">
        <is>
          <t>Profit</t>
        </is>
      </c>
      <c r="B18" s="15">
        <f>B17-B13</f>
        <v/>
      </c>
      <c r="C18" s="15">
        <f>C17-C13</f>
        <v/>
      </c>
      <c r="D18" s="15">
        <f>D17-D13</f>
        <v/>
      </c>
      <c r="E18" s="15">
        <f>E17-E13</f>
        <v/>
      </c>
      <c r="F18" s="15">
        <f>F17-F13</f>
        <v/>
      </c>
    </row>
    <row r="19">
      <c r="A19" s="19" t="inlineStr">
        <is>
          <t>Profit on Cost</t>
        </is>
      </c>
      <c r="B19" s="17">
        <f>B18/B13</f>
        <v/>
      </c>
      <c r="C19" s="17">
        <f>C18/C13</f>
        <v/>
      </c>
      <c r="D19" s="17">
        <f>D18/D13</f>
        <v/>
      </c>
      <c r="E19" s="17">
        <f>E18/E13</f>
        <v/>
      </c>
      <c r="F19" s="17">
        <f>F18/F13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SENSITIVITY ANALYSIS</t>
        </is>
      </c>
    </row>
    <row r="3">
      <c r="A3" s="14" t="inlineStr">
        <is>
          <t>Exit Cap \ Cost</t>
        </is>
      </c>
      <c r="B3" s="20" t="inlineStr">
        <is>
          <t>-10%</t>
        </is>
      </c>
      <c r="C3" s="20" t="inlineStr">
        <is>
          <t>Base</t>
        </is>
      </c>
      <c r="D3" s="20" t="inlineStr">
        <is>
          <t>+10%</t>
        </is>
      </c>
    </row>
    <row r="4">
      <c r="A4" s="21" t="inlineStr">
        <is>
          <t>4.75%</t>
        </is>
      </c>
      <c r="B4" s="22" t="n">
        <v>12.7</v>
      </c>
      <c r="C4" s="23" t="n">
        <v>6.3</v>
      </c>
      <c r="D4" s="23" t="n">
        <v>1.9</v>
      </c>
    </row>
    <row r="5">
      <c r="A5" s="21" t="inlineStr">
        <is>
          <t>5.25%</t>
        </is>
      </c>
      <c r="B5" s="23" t="n">
        <v>8</v>
      </c>
      <c r="C5" s="23" t="n">
        <v>2</v>
      </c>
      <c r="D5" s="23" t="n">
        <v>-2</v>
      </c>
    </row>
    <row r="6">
      <c r="A6" s="21" t="inlineStr">
        <is>
          <t>5.75%</t>
        </is>
      </c>
      <c r="B6" s="23" t="n">
        <v>3.3</v>
      </c>
      <c r="C6" s="23" t="n">
        <v>-2.2</v>
      </c>
      <c r="D6" s="23" t="n">
        <v>-5.8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Charlotte Multifamily 200 Units</t>
        </is>
      </c>
    </row>
    <row r="3">
      <c r="A3" s="6" t="inlineStr">
        <is>
          <t>Market</t>
        </is>
      </c>
      <c r="B3" s="24">
        <f>Inputs!B7</f>
        <v/>
      </c>
    </row>
    <row r="4">
      <c r="A4" s="6" t="inlineStr">
        <is>
          <t>Parcel (Acres)</t>
        </is>
      </c>
      <c r="B4" s="25">
        <f>Inputs!B12</f>
        <v/>
      </c>
    </row>
    <row r="5">
      <c r="A5" s="6" t="inlineStr">
        <is>
          <t>Total GFA</t>
        </is>
      </c>
      <c r="B5" s="26">
        <f>Inputs!B20</f>
        <v/>
      </c>
    </row>
    <row r="6">
      <c r="A6" s="6" t="inlineStr">
        <is>
          <t>Unit Count</t>
        </is>
      </c>
      <c r="B6" s="26">
        <f>Inputs!B18</f>
        <v/>
      </c>
    </row>
    <row r="7">
      <c r="A7" s="6" t="inlineStr">
        <is>
          <t>Exit Cap</t>
        </is>
      </c>
      <c r="B7" s="27">
        <f>Inputs!B44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2026-02-27T20:19:51Z</dcterms:created>
  <dcterms:modified xmlns:dcterms="http://purl.org/dc/terms/" xmlns:xsi="http://www.w3.org/2001/XMLSchema-instance" xsi:type="dcterms:W3CDTF">2026-02-27T20:19:51Z</dcterms:modified>
</cp:coreProperties>
</file>